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开始熔化温度论文\github上传\"/>
    </mc:Choice>
  </mc:AlternateContent>
  <xr:revisionPtr revIDLastSave="0" documentId="8_{DEE1B566-8D41-4CF7-AAB4-9A97CB63665C}" xr6:coauthVersionLast="47" xr6:coauthVersionMax="47" xr10:uidLastSave="{00000000-0000-0000-0000-000000000000}"/>
  <bookViews>
    <workbookView xWindow="-120" yWindow="-120" windowWidth="29040" windowHeight="15840" xr2:uid="{8948D5C0-556B-4900-97E0-310FB35E7E5B}"/>
  </bookViews>
  <sheets>
    <sheet name="Sheet1" sheetId="1" r:id="rId1"/>
  </sheets>
  <definedNames>
    <definedName name="_xlchart.v1.0" hidden="1">Sheet1!$Y$2:$Y$14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9" i="1" l="1"/>
  <c r="X7" i="1"/>
  <c r="W12" i="1"/>
  <c r="X12" i="1"/>
  <c r="W9" i="1"/>
  <c r="W7" i="1" l="1"/>
  <c r="W11" i="1"/>
  <c r="X11" i="1"/>
  <c r="W6" i="1"/>
  <c r="X6" i="1"/>
  <c r="X8" i="1"/>
  <c r="X10" i="1"/>
  <c r="X13" i="1"/>
  <c r="X14" i="1"/>
  <c r="W8" i="1"/>
  <c r="W10" i="1"/>
  <c r="W13" i="1"/>
  <c r="W14" i="1"/>
  <c r="W5" i="1"/>
  <c r="X5" i="1"/>
  <c r="X3" i="1"/>
  <c r="X4" i="1"/>
  <c r="W3" i="1"/>
  <c r="W4" i="1"/>
  <c r="X2" i="1"/>
  <c r="W2" i="1"/>
</calcChain>
</file>

<file path=xl/sharedStrings.xml><?xml version="1.0" encoding="utf-8"?>
<sst xmlns="http://schemas.openxmlformats.org/spreadsheetml/2006/main" count="25" uniqueCount="25">
  <si>
    <t>CaO</t>
  </si>
  <si>
    <t>SiO2</t>
  </si>
  <si>
    <t>Al2O3</t>
  </si>
  <si>
    <t>MgO</t>
  </si>
  <si>
    <t>Na2O</t>
  </si>
  <si>
    <t>F</t>
  </si>
  <si>
    <t>Li2O</t>
  </si>
  <si>
    <t>B2O3</t>
  </si>
  <si>
    <t>Fe2O3</t>
  </si>
  <si>
    <t>MnO</t>
  </si>
  <si>
    <t>Cr2O3</t>
  </si>
  <si>
    <t>TiO2</t>
  </si>
  <si>
    <t>BaO</t>
  </si>
  <si>
    <t>K2O</t>
  </si>
  <si>
    <t>V2O5</t>
  </si>
  <si>
    <t>FeO</t>
  </si>
  <si>
    <t>P2O5</t>
  </si>
  <si>
    <t>S</t>
  </si>
  <si>
    <t>R</t>
  </si>
  <si>
    <t>CaO/AL2O3</t>
  </si>
  <si>
    <t>Heating rate</t>
    <phoneticPr fontId="1" type="noConversion"/>
  </si>
  <si>
    <t>Ce2O3</t>
    <phoneticPr fontId="1" type="noConversion"/>
  </si>
  <si>
    <t>La2O3</t>
    <phoneticPr fontId="1" type="noConversion"/>
  </si>
  <si>
    <r>
      <t>T (</t>
    </r>
    <r>
      <rPr>
        <b/>
        <sz val="11"/>
        <rFont val="Segoe UI Symbol"/>
        <family val="1"/>
      </rPr>
      <t>℃</t>
    </r>
    <r>
      <rPr>
        <b/>
        <sz val="11"/>
        <rFont val="Georgia"/>
        <family val="1"/>
      </rPr>
      <t>)</t>
    </r>
    <phoneticPr fontId="1" type="noConversion"/>
  </si>
  <si>
    <t>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</si>
</sst>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Georgia"/>
      <family val="1"/>
    </font>
    <font>
      <sz val="11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b/>
      <sz val="12"/>
      <name val="Georgia"/>
      <family val="1"/>
    </font>
    <font>
      <b/>
      <sz val="11"/>
      <name val="Georgia"/>
      <family val="1"/>
    </font>
    <font>
      <b/>
      <sz val="11"/>
      <name val="Segoe UI Symbol"/>
      <family val="1"/>
    </font>
    <font>
      <b/>
      <sz val="11"/>
      <name val="等线"/>
      <family val="2"/>
      <charset val="134"/>
      <scheme val="minor"/>
    </font>
    <font>
      <sz val="11"/>
      <name val="Georgia"/>
      <family val="1"/>
    </font>
    <font>
      <sz val="11"/>
      <color theme="1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8" fillId="0" borderId="0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0" fontId="0" fillId="2" borderId="0" xfId="0" applyFill="1">
      <alignment vertical="center"/>
    </xf>
    <xf numFmtId="0" fontId="8" fillId="2" borderId="0" xfId="0" applyFont="1" applyFill="1" applyBorder="1">
      <alignment vertical="center"/>
    </xf>
    <xf numFmtId="0" fontId="3" fillId="2" borderId="0" xfId="0" applyFont="1" applyFill="1">
      <alignment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10" fillId="2" borderId="0" xfId="0" applyFont="1" applyFill="1">
      <alignment vertical="center"/>
    </xf>
    <xf numFmtId="0" fontId="10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F85E-AE27-44BB-8E5F-A694CD149C97}">
  <dimension ref="A1:AU17"/>
  <sheetViews>
    <sheetView tabSelected="1" zoomScale="85" zoomScaleNormal="85" workbookViewId="0">
      <selection activeCell="D26" sqref="D26"/>
    </sheetView>
  </sheetViews>
  <sheetFormatPr defaultRowHeight="14.25" x14ac:dyDescent="0.2"/>
  <cols>
    <col min="1" max="1" width="11.125" style="14" bestFit="1" customWidth="1"/>
    <col min="2" max="2" width="15.25" style="15" bestFit="1" customWidth="1"/>
    <col min="3" max="23" width="9" style="15"/>
    <col min="24" max="24" width="13.375" style="15" bestFit="1" customWidth="1"/>
    <col min="25" max="25" width="9" style="15"/>
    <col min="26" max="47" width="9" style="8"/>
  </cols>
  <sheetData>
    <row r="1" spans="1:47" s="3" customFormat="1" ht="16.5" x14ac:dyDescent="0.2">
      <c r="A1" s="4" t="s">
        <v>24</v>
      </c>
      <c r="B1" s="5" t="s">
        <v>20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5" t="s">
        <v>21</v>
      </c>
      <c r="V1" s="5" t="s">
        <v>22</v>
      </c>
      <c r="W1" s="6" t="s">
        <v>18</v>
      </c>
      <c r="X1" s="6" t="s">
        <v>19</v>
      </c>
      <c r="Y1" s="6" t="s">
        <v>23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</row>
    <row r="2" spans="1:47" s="2" customFormat="1" x14ac:dyDescent="0.2">
      <c r="A2" s="11">
        <v>1</v>
      </c>
      <c r="B2" s="12">
        <v>600</v>
      </c>
      <c r="C2" s="12">
        <v>27.66</v>
      </c>
      <c r="D2" s="12">
        <v>34.44</v>
      </c>
      <c r="E2" s="12">
        <v>2.87</v>
      </c>
      <c r="F2" s="12">
        <v>1.6</v>
      </c>
      <c r="G2" s="12">
        <v>15.97</v>
      </c>
      <c r="H2" s="12">
        <v>10.02</v>
      </c>
      <c r="I2" s="12">
        <v>1.55</v>
      </c>
      <c r="J2" s="12">
        <v>2.67</v>
      </c>
      <c r="K2" s="12">
        <v>0</v>
      </c>
      <c r="L2" s="12">
        <v>3.23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f t="shared" ref="W2:W14" si="0">ROUND(C2/D2,2)</f>
        <v>0.8</v>
      </c>
      <c r="X2" s="12">
        <f>ROUND(C2/E2,2)</f>
        <v>9.64</v>
      </c>
      <c r="Y2" s="12">
        <v>850</v>
      </c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</row>
    <row r="3" spans="1:47" s="2" customFormat="1" x14ac:dyDescent="0.2">
      <c r="A3" s="11">
        <v>2</v>
      </c>
      <c r="B3" s="12">
        <v>600</v>
      </c>
      <c r="C3" s="12">
        <v>41.76</v>
      </c>
      <c r="D3" s="12">
        <v>34.049999999999997</v>
      </c>
      <c r="E3" s="12">
        <v>10.95</v>
      </c>
      <c r="F3" s="12">
        <v>3.51</v>
      </c>
      <c r="G3" s="12">
        <v>2.84</v>
      </c>
      <c r="H3" s="12">
        <v>3.38</v>
      </c>
      <c r="I3" s="12">
        <v>0</v>
      </c>
      <c r="J3" s="12">
        <v>1.35</v>
      </c>
      <c r="K3" s="12">
        <v>0</v>
      </c>
      <c r="L3" s="12">
        <v>2.16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f t="shared" si="0"/>
        <v>1.23</v>
      </c>
      <c r="X3" s="12">
        <f>ROUND(C3/E3,2)</f>
        <v>3.81</v>
      </c>
      <c r="Y3" s="12">
        <v>1277</v>
      </c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</row>
    <row r="4" spans="1:47" s="2" customFormat="1" x14ac:dyDescent="0.2">
      <c r="A4" s="11">
        <v>3</v>
      </c>
      <c r="B4" s="12">
        <v>600</v>
      </c>
      <c r="C4" s="12">
        <v>38.78</v>
      </c>
      <c r="D4" s="12">
        <v>32.65</v>
      </c>
      <c r="E4" s="12">
        <v>12.24</v>
      </c>
      <c r="F4" s="12">
        <v>3.06</v>
      </c>
      <c r="G4" s="12">
        <v>6.12</v>
      </c>
      <c r="H4" s="12">
        <v>6.12</v>
      </c>
      <c r="I4" s="12">
        <v>1.02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f t="shared" si="0"/>
        <v>1.19</v>
      </c>
      <c r="X4" s="12">
        <f>ROUND(C4/E4,2)</f>
        <v>3.17</v>
      </c>
      <c r="Y4" s="12">
        <v>1191</v>
      </c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</row>
    <row r="5" spans="1:47" s="1" customFormat="1" x14ac:dyDescent="0.2">
      <c r="A5" s="11">
        <v>4</v>
      </c>
      <c r="B5" s="12">
        <v>600</v>
      </c>
      <c r="C5" s="12">
        <v>34.31</v>
      </c>
      <c r="D5" s="12">
        <v>30.35</v>
      </c>
      <c r="E5" s="12">
        <v>1.39</v>
      </c>
      <c r="F5" s="12">
        <v>3.04</v>
      </c>
      <c r="G5" s="12">
        <v>13.61</v>
      </c>
      <c r="H5" s="12">
        <v>8.9600000000000009</v>
      </c>
      <c r="I5" s="13">
        <v>4.16</v>
      </c>
      <c r="J5" s="13">
        <v>4.1900000000000004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f t="shared" si="0"/>
        <v>1.1299999999999999</v>
      </c>
      <c r="X5" s="12">
        <f t="shared" ref="X5:X14" si="1">IF(E5=0,0,ROUND(C5/E5,2))</f>
        <v>24.68</v>
      </c>
      <c r="Y5" s="12">
        <v>768</v>
      </c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47" s="1" customFormat="1" x14ac:dyDescent="0.2">
      <c r="A6" s="11">
        <v>5</v>
      </c>
      <c r="B6" s="12">
        <v>600</v>
      </c>
      <c r="C6" s="12">
        <v>37.97</v>
      </c>
      <c r="D6" s="12">
        <v>31.57</v>
      </c>
      <c r="E6" s="12">
        <v>3.32</v>
      </c>
      <c r="F6" s="12">
        <v>1.79</v>
      </c>
      <c r="G6" s="12">
        <v>9.9600000000000009</v>
      </c>
      <c r="H6" s="12">
        <v>8.81</v>
      </c>
      <c r="I6" s="13">
        <v>3.41</v>
      </c>
      <c r="J6" s="13">
        <v>3.17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f t="shared" si="0"/>
        <v>1.2</v>
      </c>
      <c r="X6" s="12">
        <f t="shared" si="1"/>
        <v>11.44</v>
      </c>
      <c r="Y6" s="12">
        <v>821</v>
      </c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</row>
    <row r="7" spans="1:47" s="2" customFormat="1" x14ac:dyDescent="0.2">
      <c r="A7" s="11">
        <v>6</v>
      </c>
      <c r="B7" s="12">
        <v>600</v>
      </c>
      <c r="C7" s="12">
        <v>36.61</v>
      </c>
      <c r="D7" s="12">
        <v>40.07</v>
      </c>
      <c r="E7" s="12">
        <v>3.41</v>
      </c>
      <c r="F7" s="12">
        <v>0.9</v>
      </c>
      <c r="G7" s="12">
        <v>11.37</v>
      </c>
      <c r="H7" s="12">
        <v>6.41</v>
      </c>
      <c r="I7" s="12">
        <v>0.72</v>
      </c>
      <c r="J7" s="12">
        <v>0.52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f t="shared" si="0"/>
        <v>0.91</v>
      </c>
      <c r="X7" s="12">
        <f t="shared" si="1"/>
        <v>10.74</v>
      </c>
      <c r="Y7" s="12">
        <v>1067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</row>
    <row r="8" spans="1:47" s="2" customFormat="1" ht="13.5" customHeight="1" x14ac:dyDescent="0.2">
      <c r="A8" s="11">
        <v>7</v>
      </c>
      <c r="B8" s="12">
        <v>600</v>
      </c>
      <c r="C8" s="12">
        <v>43.06</v>
      </c>
      <c r="D8" s="12">
        <v>34.44</v>
      </c>
      <c r="E8" s="12">
        <v>4</v>
      </c>
      <c r="F8" s="12">
        <v>2</v>
      </c>
      <c r="G8" s="12">
        <v>7.5</v>
      </c>
      <c r="H8" s="12">
        <v>8</v>
      </c>
      <c r="I8" s="13">
        <v>1</v>
      </c>
      <c r="J8" s="13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f t="shared" si="0"/>
        <v>1.25</v>
      </c>
      <c r="X8" s="12">
        <f t="shared" si="1"/>
        <v>10.77</v>
      </c>
      <c r="Y8" s="12">
        <v>1082</v>
      </c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</row>
    <row r="9" spans="1:47" s="2" customFormat="1" x14ac:dyDescent="0.2">
      <c r="A9" s="11">
        <v>8</v>
      </c>
      <c r="B9" s="12">
        <v>600</v>
      </c>
      <c r="C9" s="12">
        <v>31.2</v>
      </c>
      <c r="D9" s="12">
        <v>39.630000000000003</v>
      </c>
      <c r="E9" s="12">
        <v>7.1</v>
      </c>
      <c r="F9" s="12">
        <v>0.82</v>
      </c>
      <c r="G9" s="12">
        <v>9.8000000000000007</v>
      </c>
      <c r="H9" s="12">
        <v>5.83</v>
      </c>
      <c r="I9" s="12">
        <v>1.34</v>
      </c>
      <c r="J9" s="12">
        <v>0</v>
      </c>
      <c r="K9" s="12">
        <v>0</v>
      </c>
      <c r="L9" s="12">
        <v>4.29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f t="shared" si="0"/>
        <v>0.79</v>
      </c>
      <c r="X9" s="12">
        <f t="shared" si="1"/>
        <v>4.3899999999999997</v>
      </c>
      <c r="Y9" s="12">
        <v>1045</v>
      </c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</row>
    <row r="10" spans="1:47" s="2" customFormat="1" x14ac:dyDescent="0.2">
      <c r="A10" s="11">
        <v>9</v>
      </c>
      <c r="B10" s="12">
        <v>600</v>
      </c>
      <c r="C10" s="12">
        <v>40.86</v>
      </c>
      <c r="D10" s="12">
        <v>34.81</v>
      </c>
      <c r="E10" s="12">
        <v>9.9499999999999993</v>
      </c>
      <c r="F10" s="12">
        <v>4.17</v>
      </c>
      <c r="G10" s="12">
        <v>5.51</v>
      </c>
      <c r="H10" s="12">
        <v>2.02</v>
      </c>
      <c r="I10" s="13">
        <v>0</v>
      </c>
      <c r="J10" s="13">
        <v>0</v>
      </c>
      <c r="K10" s="12">
        <v>0</v>
      </c>
      <c r="L10" s="12">
        <v>2.69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f t="shared" si="0"/>
        <v>1.17</v>
      </c>
      <c r="X10" s="12">
        <f t="shared" si="1"/>
        <v>4.1100000000000003</v>
      </c>
      <c r="Y10" s="12">
        <v>1253</v>
      </c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</row>
    <row r="11" spans="1:47" s="1" customFormat="1" x14ac:dyDescent="0.2">
      <c r="A11" s="11">
        <v>10</v>
      </c>
      <c r="B11" s="12">
        <v>600</v>
      </c>
      <c r="C11" s="12">
        <v>39.81</v>
      </c>
      <c r="D11" s="12">
        <v>36.19</v>
      </c>
      <c r="E11" s="12">
        <v>6</v>
      </c>
      <c r="F11" s="12">
        <v>2</v>
      </c>
      <c r="G11" s="12">
        <v>9</v>
      </c>
      <c r="H11" s="12">
        <v>7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f t="shared" si="0"/>
        <v>1.1000000000000001</v>
      </c>
      <c r="X11" s="12">
        <f t="shared" si="1"/>
        <v>6.64</v>
      </c>
      <c r="Y11" s="12">
        <v>1155</v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</row>
    <row r="12" spans="1:47" s="2" customFormat="1" x14ac:dyDescent="0.2">
      <c r="A12" s="11">
        <v>11</v>
      </c>
      <c r="B12" s="12">
        <v>600</v>
      </c>
      <c r="C12" s="12">
        <v>44.57</v>
      </c>
      <c r="D12" s="12">
        <v>36.89</v>
      </c>
      <c r="E12" s="12">
        <v>6.08</v>
      </c>
      <c r="F12" s="12">
        <v>0</v>
      </c>
      <c r="G12" s="12">
        <v>7.25</v>
      </c>
      <c r="H12" s="12">
        <v>5.22</v>
      </c>
      <c r="I12" s="13">
        <v>0</v>
      </c>
      <c r="J12" s="13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f t="shared" si="0"/>
        <v>1.21</v>
      </c>
      <c r="X12" s="12">
        <f t="shared" si="1"/>
        <v>7.33</v>
      </c>
      <c r="Y12" s="12">
        <v>1103</v>
      </c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</row>
    <row r="13" spans="1:47" s="2" customFormat="1" x14ac:dyDescent="0.2">
      <c r="A13" s="11">
        <v>12</v>
      </c>
      <c r="B13" s="12">
        <v>600</v>
      </c>
      <c r="C13" s="12">
        <v>29.03</v>
      </c>
      <c r="D13" s="12">
        <v>30.11</v>
      </c>
      <c r="E13" s="12">
        <v>3.9</v>
      </c>
      <c r="F13" s="12">
        <v>8.91</v>
      </c>
      <c r="G13" s="12">
        <v>14.46</v>
      </c>
      <c r="H13" s="12">
        <v>11.47</v>
      </c>
      <c r="I13" s="12">
        <v>0</v>
      </c>
      <c r="J13" s="12">
        <v>2.13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f t="shared" si="0"/>
        <v>0.96</v>
      </c>
      <c r="X13" s="12">
        <f t="shared" si="1"/>
        <v>7.44</v>
      </c>
      <c r="Y13" s="12">
        <v>957</v>
      </c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</row>
    <row r="14" spans="1:47" s="2" customFormat="1" x14ac:dyDescent="0.2">
      <c r="A14" s="11">
        <v>13</v>
      </c>
      <c r="B14" s="12">
        <v>600</v>
      </c>
      <c r="C14" s="12">
        <v>34.869999999999997</v>
      </c>
      <c r="D14" s="12">
        <v>31.75</v>
      </c>
      <c r="E14" s="12">
        <v>3.98</v>
      </c>
      <c r="F14" s="12">
        <v>0.9</v>
      </c>
      <c r="G14" s="12">
        <v>11.67</v>
      </c>
      <c r="H14" s="12">
        <v>12.86</v>
      </c>
      <c r="I14" s="12">
        <v>1.4</v>
      </c>
      <c r="J14" s="12">
        <v>0</v>
      </c>
      <c r="K14" s="12">
        <v>0</v>
      </c>
      <c r="L14" s="12">
        <v>2.57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f t="shared" si="0"/>
        <v>1.1000000000000001</v>
      </c>
      <c r="X14" s="12">
        <f t="shared" si="1"/>
        <v>8.76</v>
      </c>
      <c r="Y14" s="12">
        <v>992</v>
      </c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</row>
    <row r="15" spans="1:47" s="2" customFormat="1" x14ac:dyDescent="0.2">
      <c r="A15" s="11">
        <v>14</v>
      </c>
      <c r="B15" s="12">
        <v>600</v>
      </c>
      <c r="C15" s="12">
        <v>41.2</v>
      </c>
      <c r="D15" s="12">
        <v>34.9</v>
      </c>
      <c r="E15" s="12">
        <v>5</v>
      </c>
      <c r="F15" s="12">
        <v>0.6</v>
      </c>
      <c r="G15" s="12">
        <v>11</v>
      </c>
      <c r="H15" s="12">
        <v>7</v>
      </c>
      <c r="I15" s="12">
        <v>0.3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1.18</v>
      </c>
      <c r="X15" s="12">
        <v>8.24</v>
      </c>
      <c r="Y15" s="12">
        <v>1084</v>
      </c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</row>
    <row r="16" spans="1:47" s="2" customFormat="1" x14ac:dyDescent="0.2">
      <c r="A16" s="11">
        <v>15</v>
      </c>
      <c r="B16" s="12">
        <v>600</v>
      </c>
      <c r="C16" s="12">
        <v>35.6</v>
      </c>
      <c r="D16" s="12">
        <v>5.3</v>
      </c>
      <c r="E16" s="12">
        <v>33.1</v>
      </c>
      <c r="F16" s="12">
        <v>2.5</v>
      </c>
      <c r="G16" s="12">
        <v>6</v>
      </c>
      <c r="H16" s="12">
        <v>6</v>
      </c>
      <c r="I16" s="12">
        <v>4.5</v>
      </c>
      <c r="J16" s="12">
        <v>7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6.72</v>
      </c>
      <c r="X16" s="12">
        <v>1.08</v>
      </c>
      <c r="Y16" s="12">
        <v>1070</v>
      </c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</row>
    <row r="17" spans="1:47" s="2" customFormat="1" x14ac:dyDescent="0.2">
      <c r="A17" s="11">
        <v>16</v>
      </c>
      <c r="B17" s="12">
        <v>600</v>
      </c>
      <c r="C17" s="12">
        <v>45</v>
      </c>
      <c r="D17" s="12">
        <v>7</v>
      </c>
      <c r="E17" s="12">
        <v>25</v>
      </c>
      <c r="F17" s="12">
        <v>2</v>
      </c>
      <c r="G17" s="12">
        <v>8</v>
      </c>
      <c r="H17" s="12">
        <v>5</v>
      </c>
      <c r="I17" s="12">
        <v>2</v>
      </c>
      <c r="J17" s="12">
        <v>6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6.43</v>
      </c>
      <c r="X17" s="12">
        <v>1.8</v>
      </c>
      <c r="Y17" s="12">
        <v>1155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Ji</dc:creator>
  <cp:lastModifiedBy>Yi Ji</cp:lastModifiedBy>
  <dcterms:created xsi:type="dcterms:W3CDTF">2025-06-25T13:35:04Z</dcterms:created>
  <dcterms:modified xsi:type="dcterms:W3CDTF">2026-01-28T08:43:35Z</dcterms:modified>
</cp:coreProperties>
</file>